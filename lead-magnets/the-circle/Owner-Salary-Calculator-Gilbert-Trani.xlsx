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Sal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<sst xmlns="http://schemas.openxmlformats.org/spreadsheetml/2006/main" count="48" uniqueCount="47">
  <si>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 xml:space="preserve">Owner Salary Calculator</t>
  </si>
  <si>
    <t xml:space="preserve">Gilbert Trani · The Circle · Phase 3: Owner Paid First</t>
  </si>
  <si>
    <t xml:space="preserve">"Swelduhan mo sarili mo din."</t>
  </si>
  <si>
    <t xml:space="preserve">A reply to a café owner on r/phinvest. 40 upvotes.</t>
  </si>
  <si>
    <t xml:space="preserve">The rule</t>
  </si>
  <si>
    <t xml:space="preserve">Your salary is a fixed cost, not a leftover. Pick a floor the business can carry even in a bad month. Pay it on a fixed date. Raise it only when net income says you can.</t>
  </si>
  <si>
    <t xml:space="preserve">How to use it (10 minutes)</t>
  </si>
  <si>
    <t xml:space="preserve">1. Open the "Salary" tab. Type only in YELLOW cells with BLUE text. The example numbers are made up. Replace them.</t>
  </si>
  <si>
    <t xml:space="preserve">2. Enter your sales for each of the last 6 months. The sheet finds your worst month.</t>
  </si>
  <si>
    <t xml:space="preserve">3. Enter your contribution margin (from my Breakeven Sheet) and your fixed costs WITHOUT your salary.</t>
  </si>
  <si>
    <t xml:space="preserve">4. Read your starting salary, your new breakeven with you in it, and whether you have room to raise.</t>
  </si>
  <si>
    <t xml:space="preserve">Want me to check your number? Reply to my message with your starting salary and your worst month.</t>
  </si>
  <si>
    <t xml:space="preserve">Yellow cells with blue text = type here. Example numbers are made up. Replace them.</t>
  </si>
  <si>
    <t xml:space="preserve">A. SALES, LAST 6 MONTHS (₱)</t>
  </si>
  <si>
    <t xml:space="preserve">Month 1 (oldest to newest)</t>
  </si>
  <si>
    <t xml:space="preserve">Month 2 (oldest to newest)</t>
  </si>
  <si>
    <t xml:space="preserve">Month 3 (oldest to newest)</t>
  </si>
  <si>
    <t xml:space="preserve">Month 4 (oldest to newest)</t>
  </si>
  <si>
    <t xml:space="preserve">Month 5 (oldest to newest)</t>
  </si>
  <si>
    <t xml:space="preserve">Month 6 (oldest to newest)</t>
  </si>
  <si>
    <t xml:space="preserve">B. YOUR COSTS</t>
  </si>
  <si>
    <t xml:space="preserve">Contribution margin (share of each sale left after direct costs)</t>
  </si>
  <si>
    <t xml:space="preserve">From your Breakeven Sheet. 60% = 0.6</t>
  </si>
  <si>
    <t xml:space="preserve">Fixed costs per month, WITHOUT your salary (₱)</t>
  </si>
  <si>
    <t xml:space="preserve">Rent, staff, utilities, loans, software, permits.</t>
  </si>
  <si>
    <t xml:space="preserve">Safety buffer on your worst month</t>
  </si>
  <si>
    <t xml:space="preserve">Keep this share of the worst month's room unpaid, as a cushion. 20% is a starting point, not a rule.</t>
  </si>
  <si>
    <t xml:space="preserve">C. YOUR RESULTS (calculated, do not type here)</t>
  </si>
  <si>
    <t xml:space="preserve">Average monthly sales, last 6 months</t>
  </si>
  <si>
    <t xml:space="preserve">Worst month's sales, last 6 months</t>
  </si>
  <si>
    <t xml:space="preserve">Your salary has to survive this month.</t>
  </si>
  <si>
    <t xml:space="preserve">Room for your salary in the worst month</t>
  </si>
  <si>
    <t xml:space="preserve">Worst month × margin − fixed costs without you.</t>
  </si>
  <si>
    <t xml:space="preserve">STARTING SALARY: your floor</t>
  </si>
  <si>
    <t xml:space="preserve">Pay this every month, on a fixed date. Small is fine. Missing is not.</t>
  </si>
  <si>
    <t xml:space="preserve">New breakeven, with your salary inside it</t>
  </si>
  <si>
    <t xml:space="preserve">This is now the sales floor you clear every month.</t>
  </si>
  <si>
    <t xml:space="preserve">Average month: net income after paying yourself</t>
  </si>
  <si>
    <t xml:space="preserve">What the business keeps in a normal month after your salary.</t>
  </si>
  <si>
    <t xml:space="preserve">When can you raise it?</t>
  </si>
  <si>
    <t xml:space="preserve">Not from this sheet</t>
  </si>
  <si>
    <t xml:space="preserve">Raise only after 3 straight months where your weekly P&amp;L shows net income above zero AFTER paying this salary. Then raise a little, and recheck breakeven.</t>
  </si>
  <si>
    <t xml:space="preserve">D. YOUR PAY DATE</t>
  </si>
  <si>
    <t xml:space="preserve">Day of the month you pay yourself</t>
  </si>
  <si>
    <t xml:space="preserve">Same day as a staff payday is easiest to remember.</t>
  </si>
  <si>
    <t xml:space="preserve">If the starting salary shows ₱0: the business does not yet cover its fixed costs in a bad month. Start with the Breakeven Sheet.</t>
  </si>
  <si>
    <t xml:space="preserve">Example figures are illustrative only. They are not a client or a real business.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</si>
</sst>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₱#,##0;[RED]&quot;-₱&quot;#,##0;\-"/>
    <numFmt numFmtId="166" formatCode="0.0%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5" t="s">
        <v>4</v>
      </c>
    </row>
    <row r="9" customFormat="false" ht="23.8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5" t="s">
        <v>6</v>
      </c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6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54"/>
  </cols>
  <sheetData>
    <row r="2" customFormat="false" ht="19.7" hidden="false" customHeight="false" outlineLevel="0" collapsed="false">
      <c r="B2" s="7" t="s">
        <v>0</v>
      </c>
    </row>
    <row r="3" customFormat="false" ht="15" hidden="false" customHeight="false" outlineLevel="0" collapsed="false">
      <c r="B3" s="8" t="s">
        <v>12</v>
      </c>
    </row>
    <row r="5" customFormat="false" ht="15" hidden="false" customHeight="false" outlineLevel="0" collapsed="false">
      <c r="B5" s="9" t="s">
        <v>13</v>
      </c>
      <c r="C5" s="10"/>
      <c r="D5" s="10"/>
    </row>
    <row r="6" customFormat="false" ht="15" hidden="false" customHeight="false" outlineLevel="0" collapsed="false">
      <c r="B6" s="11" t="s">
        <v>14</v>
      </c>
      <c r="C6" s="12" t="n">
        <v>250000</v>
      </c>
      <c r="D6" s="8"/>
    </row>
    <row r="7" customFormat="false" ht="15" hidden="false" customHeight="false" outlineLevel="0" collapsed="false">
      <c r="B7" s="11" t="s">
        <v>15</v>
      </c>
      <c r="C7" s="12" t="n">
        <v>210000</v>
      </c>
      <c r="D7" s="8"/>
    </row>
    <row r="8" customFormat="false" ht="15" hidden="false" customHeight="false" outlineLevel="0" collapsed="false">
      <c r="B8" s="11" t="s">
        <v>16</v>
      </c>
      <c r="C8" s="12" t="n">
        <v>280000</v>
      </c>
      <c r="D8" s="8"/>
    </row>
    <row r="9" customFormat="false" ht="15" hidden="false" customHeight="false" outlineLevel="0" collapsed="false">
      <c r="B9" s="11" t="s">
        <v>17</v>
      </c>
      <c r="C9" s="12" t="n">
        <v>190000</v>
      </c>
      <c r="D9" s="8"/>
    </row>
    <row r="10" customFormat="false" ht="15" hidden="false" customHeight="false" outlineLevel="0" collapsed="false">
      <c r="B10" s="11" t="s">
        <v>18</v>
      </c>
      <c r="C10" s="12" t="n">
        <v>240000</v>
      </c>
      <c r="D10" s="8"/>
    </row>
    <row r="11" customFormat="false" ht="15" hidden="false" customHeight="false" outlineLevel="0" collapsed="false">
      <c r="B11" s="11" t="s">
        <v>19</v>
      </c>
      <c r="C11" s="12" t="n">
        <v>260000</v>
      </c>
      <c r="D11" s="8"/>
    </row>
    <row r="13" customFormat="false" ht="15" hidden="false" customHeight="false" outlineLevel="0" collapsed="false">
      <c r="B13" s="9" t="s">
        <v>20</v>
      </c>
      <c r="C13" s="10"/>
      <c r="D13" s="10"/>
    </row>
    <row r="14" customFormat="false" ht="15" hidden="false" customHeight="false" outlineLevel="0" collapsed="false">
      <c r="B14" s="2" t="s">
        <v>21</v>
      </c>
      <c r="C14" s="13" t="n">
        <v>0.6</v>
      </c>
      <c r="D14" s="4" t="s">
        <v>22</v>
      </c>
    </row>
    <row r="15" customFormat="false" ht="15" hidden="false" customHeight="false" outlineLevel="0" collapsed="false">
      <c r="B15" s="2" t="s">
        <v>23</v>
      </c>
      <c r="C15" s="12" t="n">
        <v>90000</v>
      </c>
      <c r="D15" s="4" t="s">
        <v>24</v>
      </c>
    </row>
    <row r="16" customFormat="false" ht="22.35" hidden="false" customHeight="false" outlineLevel="0" collapsed="false">
      <c r="B16" s="2" t="s">
        <v>25</v>
      </c>
      <c r="C16" s="13" t="n">
        <v>0.2</v>
      </c>
      <c r="D16" s="4" t="s">
        <v>26</v>
      </c>
    </row>
    <row r="17" customFormat="false" ht="15" hidden="false" customHeight="false" outlineLevel="0" collapsed="false">
      <c r="B17" s="14"/>
      <c r="D17" s="14"/>
    </row>
    <row r="18" customFormat="false" ht="15" hidden="false" customHeight="false" outlineLevel="0" collapsed="false">
      <c r="B18" s="15" t="s">
        <v>27</v>
      </c>
      <c r="C18" s="10"/>
      <c r="D18" s="16"/>
    </row>
    <row r="19" customFormat="false" ht="27.75" hidden="false" customHeight="true" outlineLevel="0" collapsed="false">
      <c r="B19" s="2" t="s">
        <v>28</v>
      </c>
      <c r="C19" s="17" t="n">
        <f aca="false">AVERAGE(C6:C11)</f>
        <v>238333.333333333</v>
      </c>
      <c r="D19" s="4"/>
    </row>
    <row r="20" customFormat="false" ht="27.75" hidden="false" customHeight="true" outlineLevel="0" collapsed="false">
      <c r="B20" s="2" t="s">
        <v>29</v>
      </c>
      <c r="C20" s="17" t="n">
        <f aca="false">MIN(C6:C11)</f>
        <v>190000</v>
      </c>
      <c r="D20" s="4" t="s">
        <v>30</v>
      </c>
    </row>
    <row r="21" customFormat="false" ht="27.75" hidden="false" customHeight="true" outlineLevel="0" collapsed="false">
      <c r="B21" s="2" t="s">
        <v>31</v>
      </c>
      <c r="C21" s="17" t="n">
        <f aca="false">MAX(0,C20*C14-C15)</f>
        <v>24000</v>
      </c>
      <c r="D21" s="4" t="s">
        <v>32</v>
      </c>
    </row>
    <row r="22" customFormat="false" ht="27.75" hidden="false" customHeight="true" outlineLevel="0" collapsed="false">
      <c r="B22" s="6" t="s">
        <v>33</v>
      </c>
      <c r="C22" s="18" t="n">
        <f aca="false">FLOOR(C21*(1-C16),1000)</f>
        <v>19000</v>
      </c>
      <c r="D22" s="4" t="s">
        <v>34</v>
      </c>
    </row>
    <row r="23" customFormat="false" ht="27.75" hidden="false" customHeight="true" outlineLevel="0" collapsed="false">
      <c r="B23" s="2" t="s">
        <v>35</v>
      </c>
      <c r="C23" s="17" t="n">
        <f aca="false">IFERROR((C15+C22)/C14,0)</f>
        <v>181666.666666667</v>
      </c>
      <c r="D23" s="4" t="s">
        <v>36</v>
      </c>
    </row>
    <row r="24" customFormat="false" ht="27.75" hidden="false" customHeight="true" outlineLevel="0" collapsed="false">
      <c r="B24" s="6" t="s">
        <v>37</v>
      </c>
      <c r="C24" s="19" t="n">
        <f aca="false">C19*C14-C15-C22</f>
        <v>34000</v>
      </c>
      <c r="D24" s="4" t="s">
        <v>38</v>
      </c>
    </row>
    <row r="25" customFormat="false" ht="27.75" hidden="false" customHeight="true" outlineLevel="0" collapsed="false">
      <c r="B25" s="6" t="s">
        <v>39</v>
      </c>
      <c r="C25" s="20" t="s">
        <v>40</v>
      </c>
      <c r="D25" s="4" t="s">
        <v>41</v>
      </c>
    </row>
    <row r="28" customFormat="false" ht="15" hidden="false" customHeight="false" outlineLevel="0" collapsed="false">
      <c r="B28" s="9" t="s">
        <v>42</v>
      </c>
      <c r="C28" s="10"/>
      <c r="D28" s="10"/>
    </row>
    <row r="29" customFormat="false" ht="15" hidden="false" customHeight="false" outlineLevel="0" collapsed="false">
      <c r="B29" s="11" t="s">
        <v>43</v>
      </c>
      <c r="C29" s="21" t="n">
        <v>15</v>
      </c>
      <c r="D29" s="8" t="s">
        <v>44</v>
      </c>
    </row>
    <row r="31" customFormat="false" ht="15" hidden="false" customHeight="false" outlineLevel="0" collapsed="false">
      <c r="B31" s="8" t="s">
        <v>45</v>
      </c>
    </row>
    <row r="32" customFormat="false" ht="15" hidden="false" customHeight="false" outlineLevel="0" collapsed="false">
      <c r="B32" s="8" t="s">
        <v>46</v>
      </c>
    </row>
  </sheetData>
  <conditionalFormatting sqref="C2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2026-09-23T10:35:27Z</dcterms:created>
  <dc:creator>openpyxl</dc:creator>
  <dc:description/>
  <dc:language>en-US</dc:language>
  <cp:lastModifiedBy/>
  <dcterms:modified xsi:type="dcterms:W3CDTF">2026-09-23T10:35:27Z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