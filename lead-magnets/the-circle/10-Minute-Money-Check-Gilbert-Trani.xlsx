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ily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<sst xmlns="http://schemas.openxmlformats.org/spreadsheetml/2006/main" count="30" uniqueCount="30">
  <si>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10-Minute Money Check</t>
  </si>
  <si>
    <t xml:space="preserve">Gilbert Trani · The Circle · replace the feeling with three numbers</t>
  </si>
  <si>
    <t xml:space="preserve">"im basing it on feeling which i know is wrong." — a café owner, posting about their own business</t>
  </si>
  <si>
    <t xml:space="preserve">Every morning, before you open the doors or the laptop (10 minutes)</t>
  </si>
  <si>
    <t xml:space="preserve">Minute 1-2 · Write yesterday's CASH IN: everything that landed, from every channel (cash, GCash, bank, card).</t>
  </si>
  <si>
    <t xml:space="preserve">Minute 3-4 · Write yesterday's CASH OUT: everything that left, including stock, wages, bills, and anything you took personally.</t>
  </si>
  <si>
    <t xml:space="preserve">Minute 5 · Read your CASH ON HAND. The sheet calculates it. Compare it with what is really in the drawer, wallet and bank.</t>
  </si>
  <si>
    <t xml:space="preserve">Minute 6-7 · Write yesterday's SALES and check the column "vs daily breakeven". Green means you covered the day. Red means you did not.</t>
  </si>
  <si>
    <t xml:space="preserve">Minute 8-10 · Answer one question in the Notes column: what is the one thing I will change today because of these numbers?</t>
  </si>
  <si>
    <t xml:space="preserve">Set up once</t>
  </si>
  <si>
    <t xml:space="preserve">1. On the "Daily Check" tab, type your opening cash on hand (cell C4).</t>
  </si>
  <si>
    <t xml:space="preserve">2. Type your daily breakeven target (cell C5). Get it from my Breakeven Sheet, or ask me for it.</t>
  </si>
  <si>
    <t xml:space="preserve">3. Only type in YELLOW cells with BLUE text. The first row shows made-up example numbers. Replace them.</t>
  </si>
  <si>
    <t xml:space="preserve">Rule of the week: do not change anything big until you have 7 mornings of numbers.</t>
  </si>
  <si>
    <t xml:space="preserve">10-Minute Money Check · one row per morning</t>
  </si>
  <si>
    <t xml:space="preserve">Opening cash on hand (₱)</t>
  </si>
  <si>
    <t xml:space="preserve">Everything you have today: drawer + GCash + bank. Example value, replace it.</t>
  </si>
  <si>
    <t xml:space="preserve">Daily breakeven target (₱)</t>
  </si>
  <si>
    <t xml:space="preserve">From your Breakeven Sheet ("Daily sales needed to break even"). Example value, replace it.</t>
  </si>
  <si>
    <t xml:space="preserve">Date</t>
  </si>
  <si>
    <t xml:space="preserve">Cash in (₱)</t>
  </si>
  <si>
    <t xml:space="preserve">Cash out (₱)</t>
  </si>
  <si>
    <t xml:space="preserve">Cash on hand (₱)</t>
  </si>
  <si>
    <t xml:space="preserve">Sales (₱)</t>
  </si>
  <si>
    <t xml:space="preserve">vs daily breakeven (₱)</t>
  </si>
  <si>
    <t xml:space="preserve">Notes: one thing I will change today</t>
  </si>
  <si>
    <t xml:space="preserve">EXAMPLE ROW, replace. Stock bought daily: try buying twice a week.</t>
  </si>
  <si>
    <t xml:space="preserve">Month totals</t>
  </si>
  <si>
    <t xml:space="preserve">← days you covered your breakeven</t>
  </si>
  <si>
    <t xml:space="preserve">Example values in C4, C5 and row 8 are made up to show the format. They are not a real business.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</si>
</sst>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₱#,##0;&quot;(₱&quot;#,##0\);\-"/>
    <numFmt numFmtId="166" formatCode="mmm\ d"/>
    <numFmt numFmtId="167" formatCode="\₱#,##0;[RED]&quot;-₱&quot;#,##0;\-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E2E2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44"/>
  </cols>
  <sheetData>
    <row r="2" customFormat="false" ht="19.7" hidden="false" customHeight="false" outlineLevel="0" collapsed="false">
      <c r="B2" s="6" t="s">
        <v>14</v>
      </c>
    </row>
    <row r="4" customFormat="false" ht="15" hidden="false" customHeight="false" outlineLevel="0" collapsed="false">
      <c r="B4" s="7" t="s">
        <v>15</v>
      </c>
      <c r="C4" s="8" t="n">
        <v>50000</v>
      </c>
      <c r="D4" s="9" t="s">
        <v>16</v>
      </c>
    </row>
    <row r="5" customFormat="false" ht="15" hidden="false" customHeight="false" outlineLevel="0" collapsed="false">
      <c r="B5" s="7" t="s">
        <v>17</v>
      </c>
      <c r="C5" s="8" t="n">
        <v>9038</v>
      </c>
      <c r="D5" s="9" t="s">
        <v>18</v>
      </c>
    </row>
    <row r="7" customFormat="false" ht="30" hidden="false" customHeight="true" outlineLevel="0" collapsed="false">
      <c r="B7" s="10" t="s">
        <v>19</v>
      </c>
      <c r="C7" s="10" t="s">
        <v>20</v>
      </c>
      <c r="D7" s="10" t="s">
        <v>21</v>
      </c>
      <c r="E7" s="10" t="s">
        <v>22</v>
      </c>
      <c r="F7" s="10" t="s">
        <v>23</v>
      </c>
      <c r="G7" s="10" t="s">
        <v>24</v>
      </c>
      <c r="H7" s="10" t="s">
        <v>25</v>
      </c>
    </row>
    <row r="8" customFormat="false" ht="23.85" hidden="false" customHeight="false" outlineLevel="0" collapsed="false">
      <c r="B8" s="11" t="n">
        <v>46289</v>
      </c>
      <c r="C8" s="8" t="n">
        <v>9500</v>
      </c>
      <c r="D8" s="8" t="n">
        <v>7200</v>
      </c>
      <c r="E8" s="12" t="n">
        <f aca="false">IF(AND(C8="",D8=""),"",$C$4+SUM(C$8:C8)-SUM(D$8:D8))</f>
        <v>52300</v>
      </c>
      <c r="F8" s="8" t="n">
        <v>9000</v>
      </c>
      <c r="G8" s="13" t="n">
        <f aca="false">IF(F8="","",F8-$C$5)</f>
        <v>-38</v>
      </c>
      <c r="H8" s="14" t="s">
        <v>26</v>
      </c>
    </row>
    <row r="9" customFormat="false" ht="15" hidden="false" customHeight="false" outlineLevel="0" collapsed="false">
      <c r="B9" s="11"/>
      <c r="C9" s="8"/>
      <c r="D9" s="8"/>
      <c r="E9" s="12" t="str">
        <f aca="false">IF(AND(C9="",D9=""),"",$C$4+SUM(C$8:C9)-SUM(D$8:D9))</f>
        <v/>
      </c>
      <c r="F9" s="8"/>
      <c r="G9" s="13" t="str">
        <f aca="false">IF(F9="","",F9-$C$5)</f>
        <v/>
      </c>
      <c r="H9" s="14"/>
    </row>
    <row r="10" customFormat="false" ht="15" hidden="false" customHeight="false" outlineLevel="0" collapsed="false">
      <c r="B10" s="11"/>
      <c r="C10" s="8"/>
      <c r="D10" s="8"/>
      <c r="E10" s="12" t="str">
        <f aca="false">IF(AND(C10="",D10=""),"",$C$4+SUM(C$8:C10)-SUM(D$8:D10))</f>
        <v/>
      </c>
      <c r="F10" s="8"/>
      <c r="G10" s="13" t="str">
        <f aca="false">IF(F10="","",F10-$C$5)</f>
        <v/>
      </c>
      <c r="H10" s="14"/>
    </row>
    <row r="11" customFormat="false" ht="15" hidden="false" customHeight="false" outlineLevel="0" collapsed="false">
      <c r="B11" s="11"/>
      <c r="C11" s="8"/>
      <c r="D11" s="8"/>
      <c r="E11" s="12" t="str">
        <f aca="false">IF(AND(C11="",D11=""),"",$C$4+SUM(C$8:C11)-SUM(D$8:D11))</f>
        <v/>
      </c>
      <c r="F11" s="8"/>
      <c r="G11" s="13" t="str">
        <f aca="false">IF(F11="","",F11-$C$5)</f>
        <v/>
      </c>
      <c r="H11" s="14"/>
    </row>
    <row r="12" customFormat="false" ht="15" hidden="false" customHeight="false" outlineLevel="0" collapsed="false">
      <c r="B12" s="11"/>
      <c r="C12" s="8"/>
      <c r="D12" s="8"/>
      <c r="E12" s="12" t="str">
        <f aca="false">IF(AND(C12="",D12=""),"",$C$4+SUM(C$8:C12)-SUM(D$8:D12))</f>
        <v/>
      </c>
      <c r="F12" s="8"/>
      <c r="G12" s="13" t="str">
        <f aca="false">IF(F12="","",F12-$C$5)</f>
        <v/>
      </c>
      <c r="H12" s="14"/>
    </row>
    <row r="13" customFormat="false" ht="15" hidden="false" customHeight="false" outlineLevel="0" collapsed="false">
      <c r="B13" s="11"/>
      <c r="C13" s="8"/>
      <c r="D13" s="8"/>
      <c r="E13" s="12" t="str">
        <f aca="false">IF(AND(C13="",D13=""),"",$C$4+SUM(C$8:C13)-SUM(D$8:D13))</f>
        <v/>
      </c>
      <c r="F13" s="8"/>
      <c r="G13" s="13" t="str">
        <f aca="false">IF(F13="","",F13-$C$5)</f>
        <v/>
      </c>
      <c r="H13" s="14"/>
    </row>
    <row r="14" customFormat="false" ht="15" hidden="false" customHeight="false" outlineLevel="0" collapsed="false">
      <c r="B14" s="11"/>
      <c r="C14" s="8"/>
      <c r="D14" s="8"/>
      <c r="E14" s="12" t="str">
        <f aca="false">IF(AND(C14="",D14=""),"",$C$4+SUM(C$8:C14)-SUM(D$8:D14))</f>
        <v/>
      </c>
      <c r="F14" s="8"/>
      <c r="G14" s="13" t="str">
        <f aca="false">IF(F14="","",F14-$C$5)</f>
        <v/>
      </c>
      <c r="H14" s="14"/>
    </row>
    <row r="15" customFormat="false" ht="15" hidden="false" customHeight="false" outlineLevel="0" collapsed="false">
      <c r="B15" s="11"/>
      <c r="C15" s="8"/>
      <c r="D15" s="8"/>
      <c r="E15" s="12" t="str">
        <f aca="false">IF(AND(C15="",D15=""),"",$C$4+SUM(C$8:C15)-SUM(D$8:D15))</f>
        <v/>
      </c>
      <c r="F15" s="8"/>
      <c r="G15" s="13" t="str">
        <f aca="false">IF(F15="","",F15-$C$5)</f>
        <v/>
      </c>
      <c r="H15" s="14"/>
    </row>
    <row r="16" customFormat="false" ht="15" hidden="false" customHeight="false" outlineLevel="0" collapsed="false">
      <c r="B16" s="11"/>
      <c r="C16" s="8"/>
      <c r="D16" s="8"/>
      <c r="E16" s="12" t="str">
        <f aca="false">IF(AND(C16="",D16=""),"",$C$4+SUM(C$8:C16)-SUM(D$8:D16))</f>
        <v/>
      </c>
      <c r="F16" s="8"/>
      <c r="G16" s="13" t="str">
        <f aca="false">IF(F16="","",F16-$C$5)</f>
        <v/>
      </c>
      <c r="H16" s="14"/>
    </row>
    <row r="17" customFormat="false" ht="15" hidden="false" customHeight="false" outlineLevel="0" collapsed="false">
      <c r="B17" s="11"/>
      <c r="C17" s="8"/>
      <c r="D17" s="8"/>
      <c r="E17" s="12" t="str">
        <f aca="false">IF(AND(C17="",D17=""),"",$C$4+SUM(C$8:C17)-SUM(D$8:D17))</f>
        <v/>
      </c>
      <c r="F17" s="8"/>
      <c r="G17" s="13" t="str">
        <f aca="false">IF(F17="","",F17-$C$5)</f>
        <v/>
      </c>
      <c r="H17" s="14"/>
    </row>
    <row r="18" customFormat="false" ht="15" hidden="false" customHeight="false" outlineLevel="0" collapsed="false">
      <c r="B18" s="11"/>
      <c r="C18" s="8"/>
      <c r="D18" s="8"/>
      <c r="E18" s="12" t="str">
        <f aca="false">IF(AND(C18="",D18=""),"",$C$4+SUM(C$8:C18)-SUM(D$8:D18))</f>
        <v/>
      </c>
      <c r="F18" s="8"/>
      <c r="G18" s="13" t="str">
        <f aca="false">IF(F18="","",F18-$C$5)</f>
        <v/>
      </c>
      <c r="H18" s="14"/>
    </row>
    <row r="19" customFormat="false" ht="15" hidden="false" customHeight="false" outlineLevel="0" collapsed="false">
      <c r="B19" s="11"/>
      <c r="C19" s="8"/>
      <c r="D19" s="8"/>
      <c r="E19" s="12" t="str">
        <f aca="false">IF(AND(C19="",D19=""),"",$C$4+SUM(C$8:C19)-SUM(D$8:D19))</f>
        <v/>
      </c>
      <c r="F19" s="8"/>
      <c r="G19" s="13" t="str">
        <f aca="false">IF(F19="","",F19-$C$5)</f>
        <v/>
      </c>
      <c r="H19" s="14"/>
    </row>
    <row r="20" customFormat="false" ht="15" hidden="false" customHeight="false" outlineLevel="0" collapsed="false">
      <c r="B20" s="11"/>
      <c r="C20" s="8"/>
      <c r="D20" s="8"/>
      <c r="E20" s="12" t="str">
        <f aca="false">IF(AND(C20="",D20=""),"",$C$4+SUM(C$8:C20)-SUM(D$8:D20))</f>
        <v/>
      </c>
      <c r="F20" s="8"/>
      <c r="G20" s="13" t="str">
        <f aca="false">IF(F20="","",F20-$C$5)</f>
        <v/>
      </c>
      <c r="H20" s="14"/>
    </row>
    <row r="21" customFormat="false" ht="15" hidden="false" customHeight="false" outlineLevel="0" collapsed="false">
      <c r="B21" s="11"/>
      <c r="C21" s="8"/>
      <c r="D21" s="8"/>
      <c r="E21" s="12" t="str">
        <f aca="false">IF(AND(C21="",D21=""),"",$C$4+SUM(C$8:C21)-SUM(D$8:D21))</f>
        <v/>
      </c>
      <c r="F21" s="8"/>
      <c r="G21" s="13" t="str">
        <f aca="false">IF(F21="","",F21-$C$5)</f>
        <v/>
      </c>
      <c r="H21" s="14"/>
    </row>
    <row r="22" customFormat="false" ht="15" hidden="false" customHeight="false" outlineLevel="0" collapsed="false">
      <c r="B22" s="11"/>
      <c r="C22" s="8"/>
      <c r="D22" s="8"/>
      <c r="E22" s="12" t="str">
        <f aca="false">IF(AND(C22="",D22=""),"",$C$4+SUM(C$8:C22)-SUM(D$8:D22))</f>
        <v/>
      </c>
      <c r="F22" s="8"/>
      <c r="G22" s="13" t="str">
        <f aca="false">IF(F22="","",F22-$C$5)</f>
        <v/>
      </c>
      <c r="H22" s="14"/>
    </row>
    <row r="23" customFormat="false" ht="15" hidden="false" customHeight="false" outlineLevel="0" collapsed="false">
      <c r="B23" s="11"/>
      <c r="C23" s="8"/>
      <c r="D23" s="8"/>
      <c r="E23" s="12" t="str">
        <f aca="false">IF(AND(C23="",D23=""),"",$C$4+SUM(C$8:C23)-SUM(D$8:D23))</f>
        <v/>
      </c>
      <c r="F23" s="8"/>
      <c r="G23" s="13" t="str">
        <f aca="false">IF(F23="","",F23-$C$5)</f>
        <v/>
      </c>
      <c r="H23" s="14"/>
    </row>
    <row r="24" customFormat="false" ht="15" hidden="false" customHeight="false" outlineLevel="0" collapsed="false">
      <c r="B24" s="11"/>
      <c r="C24" s="8"/>
      <c r="D24" s="8"/>
      <c r="E24" s="12" t="str">
        <f aca="false">IF(AND(C24="",D24=""),"",$C$4+SUM(C$8:C24)-SUM(D$8:D24))</f>
        <v/>
      </c>
      <c r="F24" s="8"/>
      <c r="G24" s="13" t="str">
        <f aca="false">IF(F24="","",F24-$C$5)</f>
        <v/>
      </c>
      <c r="H24" s="14"/>
    </row>
    <row r="25" customFormat="false" ht="15" hidden="false" customHeight="false" outlineLevel="0" collapsed="false">
      <c r="B25" s="11"/>
      <c r="C25" s="8"/>
      <c r="D25" s="8"/>
      <c r="E25" s="12" t="str">
        <f aca="false">IF(AND(C25="",D25=""),"",$C$4+SUM(C$8:C25)-SUM(D$8:D25))</f>
        <v/>
      </c>
      <c r="F25" s="8"/>
      <c r="G25" s="13" t="str">
        <f aca="false">IF(F25="","",F25-$C$5)</f>
        <v/>
      </c>
      <c r="H25" s="14"/>
    </row>
    <row r="26" customFormat="false" ht="15" hidden="false" customHeight="false" outlineLevel="0" collapsed="false">
      <c r="B26" s="11"/>
      <c r="C26" s="8"/>
      <c r="D26" s="8"/>
      <c r="E26" s="12" t="str">
        <f aca="false">IF(AND(C26="",D26=""),"",$C$4+SUM(C$8:C26)-SUM(D$8:D26))</f>
        <v/>
      </c>
      <c r="F26" s="8"/>
      <c r="G26" s="13" t="str">
        <f aca="false">IF(F26="","",F26-$C$5)</f>
        <v/>
      </c>
      <c r="H26" s="14"/>
    </row>
    <row r="27" customFormat="false" ht="15" hidden="false" customHeight="false" outlineLevel="0" collapsed="false">
      <c r="B27" s="11"/>
      <c r="C27" s="8"/>
      <c r="D27" s="8"/>
      <c r="E27" s="12" t="str">
        <f aca="false">IF(AND(C27="",D27=""),"",$C$4+SUM(C$8:C27)-SUM(D$8:D27))</f>
        <v/>
      </c>
      <c r="F27" s="8"/>
      <c r="G27" s="13" t="str">
        <f aca="false">IF(F27="","",F27-$C$5)</f>
        <v/>
      </c>
      <c r="H27" s="14"/>
    </row>
    <row r="28" customFormat="false" ht="15" hidden="false" customHeight="false" outlineLevel="0" collapsed="false">
      <c r="B28" s="11"/>
      <c r="C28" s="8"/>
      <c r="D28" s="8"/>
      <c r="E28" s="12" t="str">
        <f aca="false">IF(AND(C28="",D28=""),"",$C$4+SUM(C$8:C28)-SUM(D$8:D28))</f>
        <v/>
      </c>
      <c r="F28" s="8"/>
      <c r="G28" s="13" t="str">
        <f aca="false">IF(F28="","",F28-$C$5)</f>
        <v/>
      </c>
      <c r="H28" s="14"/>
    </row>
    <row r="29" customFormat="false" ht="15" hidden="false" customHeight="false" outlineLevel="0" collapsed="false">
      <c r="B29" s="11"/>
      <c r="C29" s="8"/>
      <c r="D29" s="8"/>
      <c r="E29" s="12" t="str">
        <f aca="false">IF(AND(C29="",D29=""),"",$C$4+SUM(C$8:C29)-SUM(D$8:D29))</f>
        <v/>
      </c>
      <c r="F29" s="8"/>
      <c r="G29" s="13" t="str">
        <f aca="false">IF(F29="","",F29-$C$5)</f>
        <v/>
      </c>
      <c r="H29" s="14"/>
    </row>
    <row r="30" customFormat="false" ht="15" hidden="false" customHeight="false" outlineLevel="0" collapsed="false">
      <c r="B30" s="11"/>
      <c r="C30" s="8"/>
      <c r="D30" s="8"/>
      <c r="E30" s="12" t="str">
        <f aca="false">IF(AND(C30="",D30=""),"",$C$4+SUM(C$8:C30)-SUM(D$8:D30))</f>
        <v/>
      </c>
      <c r="F30" s="8"/>
      <c r="G30" s="13" t="str">
        <f aca="false">IF(F30="","",F30-$C$5)</f>
        <v/>
      </c>
      <c r="H30" s="14"/>
    </row>
    <row r="31" customFormat="false" ht="15" hidden="false" customHeight="false" outlineLevel="0" collapsed="false">
      <c r="B31" s="11"/>
      <c r="C31" s="8"/>
      <c r="D31" s="8"/>
      <c r="E31" s="12" t="str">
        <f aca="false">IF(AND(C31="",D31=""),"",$C$4+SUM(C$8:C31)-SUM(D$8:D31))</f>
        <v/>
      </c>
      <c r="F31" s="8"/>
      <c r="G31" s="13" t="str">
        <f aca="false">IF(F31="","",F31-$C$5)</f>
        <v/>
      </c>
      <c r="H31" s="14"/>
    </row>
    <row r="32" customFormat="false" ht="15" hidden="false" customHeight="false" outlineLevel="0" collapsed="false">
      <c r="B32" s="11"/>
      <c r="C32" s="8"/>
      <c r="D32" s="8"/>
      <c r="E32" s="12" t="str">
        <f aca="false">IF(AND(C32="",D32=""),"",$C$4+SUM(C$8:C32)-SUM(D$8:D32))</f>
        <v/>
      </c>
      <c r="F32" s="8"/>
      <c r="G32" s="13" t="str">
        <f aca="false">IF(F32="","",F32-$C$5)</f>
        <v/>
      </c>
      <c r="H32" s="14"/>
    </row>
    <row r="33" customFormat="false" ht="15" hidden="false" customHeight="false" outlineLevel="0" collapsed="false">
      <c r="B33" s="11"/>
      <c r="C33" s="8"/>
      <c r="D33" s="8"/>
      <c r="E33" s="12" t="str">
        <f aca="false">IF(AND(C33="",D33=""),"",$C$4+SUM(C$8:C33)-SUM(D$8:D33))</f>
        <v/>
      </c>
      <c r="F33" s="8"/>
      <c r="G33" s="13" t="str">
        <f aca="false">IF(F33="","",F33-$C$5)</f>
        <v/>
      </c>
      <c r="H33" s="14"/>
    </row>
    <row r="34" customFormat="false" ht="15" hidden="false" customHeight="false" outlineLevel="0" collapsed="false">
      <c r="B34" s="11"/>
      <c r="C34" s="8"/>
      <c r="D34" s="8"/>
      <c r="E34" s="12" t="str">
        <f aca="false">IF(AND(C34="",D34=""),"",$C$4+SUM(C$8:C34)-SUM(D$8:D34))</f>
        <v/>
      </c>
      <c r="F34" s="8"/>
      <c r="G34" s="13" t="str">
        <f aca="false">IF(F34="","",F34-$C$5)</f>
        <v/>
      </c>
      <c r="H34" s="14"/>
    </row>
    <row r="35" customFormat="false" ht="15" hidden="false" customHeight="false" outlineLevel="0" collapsed="false">
      <c r="B35" s="11"/>
      <c r="C35" s="8"/>
      <c r="D35" s="8"/>
      <c r="E35" s="12" t="str">
        <f aca="false">IF(AND(C35="",D35=""),"",$C$4+SUM(C$8:C35)-SUM(D$8:D35))</f>
        <v/>
      </c>
      <c r="F35" s="8"/>
      <c r="G35" s="13" t="str">
        <f aca="false">IF(F35="","",F35-$C$5)</f>
        <v/>
      </c>
      <c r="H35" s="14"/>
    </row>
    <row r="36" customFormat="false" ht="15" hidden="false" customHeight="false" outlineLevel="0" collapsed="false">
      <c r="B36" s="11"/>
      <c r="C36" s="8"/>
      <c r="D36" s="8"/>
      <c r="E36" s="12" t="str">
        <f aca="false">IF(AND(C36="",D36=""),"",$C$4+SUM(C$8:C36)-SUM(D$8:D36))</f>
        <v/>
      </c>
      <c r="F36" s="8"/>
      <c r="G36" s="13" t="str">
        <f aca="false">IF(F36="","",F36-$C$5)</f>
        <v/>
      </c>
      <c r="H36" s="14"/>
    </row>
    <row r="37" customFormat="false" ht="15" hidden="false" customHeight="false" outlineLevel="0" collapsed="false">
      <c r="B37" s="11"/>
      <c r="C37" s="8"/>
      <c r="D37" s="8"/>
      <c r="E37" s="12" t="str">
        <f aca="false">IF(AND(C37="",D37=""),"",$C$4+SUM(C$8:C37)-SUM(D$8:D37))</f>
        <v/>
      </c>
      <c r="F37" s="8"/>
      <c r="G37" s="13" t="str">
        <f aca="false">IF(F37="","",F37-$C$5)</f>
        <v/>
      </c>
      <c r="H37" s="14"/>
    </row>
    <row r="38" customFormat="false" ht="15" hidden="false" customHeight="false" outlineLevel="0" collapsed="false">
      <c r="B38" s="11"/>
      <c r="C38" s="8"/>
      <c r="D38" s="8"/>
      <c r="E38" s="12" t="str">
        <f aca="false">IF(AND(C38="",D38=""),"",$C$4+SUM(C$8:C38)-SUM(D$8:D38))</f>
        <v/>
      </c>
      <c r="F38" s="8"/>
      <c r="G38" s="13" t="str">
        <f aca="false">IF(F38="","",F38-$C$5)</f>
        <v/>
      </c>
      <c r="H38" s="14"/>
    </row>
    <row r="40" customFormat="false" ht="15" hidden="false" customHeight="false" outlineLevel="0" collapsed="false">
      <c r="B40" s="7" t="s">
        <v>27</v>
      </c>
      <c r="C40" s="15" t="n">
        <f aca="false">SUM(C8:C38)</f>
        <v>9500</v>
      </c>
      <c r="D40" s="15" t="n">
        <f aca="false">SUM(D8:D38)</f>
        <v>7200</v>
      </c>
      <c r="F40" s="15" t="n">
        <f aca="false">SUM(F8:F38)</f>
        <v>9000</v>
      </c>
      <c r="G40" s="16" t="n">
        <f aca="false">COUNTIF(G8:G38,"&gt;=0")</f>
        <v>0</v>
      </c>
      <c r="H40" s="9" t="s">
        <v>28</v>
      </c>
    </row>
    <row r="42" customFormat="false" ht="15" hidden="false" customHeight="false" outlineLevel="0" collapsed="false">
      <c r="B42" s="9" t="s">
        <v>29</v>
      </c>
    </row>
  </sheetData>
  <conditionalFormatting sqref="G8:G38">
    <cfRule type="expression" priority="2" aboveAverage="0" equalAverage="0" bottom="0" percent="0" rank="0" text="" dxfId="0">
      <formula>AND(G8&lt;&gt;"",G8&lt;0)</formula>
    </cfRule>
    <cfRule type="expression" priority="3" aboveAverage="0" equalAverage="0" bottom="0" percent="0" rank="0" text="" dxfId="1">
      <formula>AND(G8&lt;&gt;"",G8&gt;=0)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2026-09-23T10:30:02Z</dcterms:created>
  <dc:creator>openpyxl</dc:creator>
  <dc:description/>
  <dc:language>en-US</dc:language>
  <cp:lastModifiedBy/>
  <dcterms:modified xsi:type="dcterms:W3CDTF">2026-09-23T10:30:02Z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