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tart Here" sheetId="1" state="visible" r:id="rId3"/>
    <sheet name="Breakeven" sheetId="2" state="visible" r:id="rId4"/>
  </sheets>
  <definedNames>
    <definedName function="false" hidden="false" localSheetId="1" name="_xlnm.Print_Area" vbProcedure="false">Breakeven!$A$1:$D$31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6" authorId="0">
      <text>
        <r>
          <rPr>
            <sz val="10"/>
            <rFont val="Arial"/>
            <family val="2"/>
          </rPr>
          <t xml:space="preserve">Your salary goes here first. It is a fixed cost, not a leftover.</t>
        </r>
      </text>
    </comment>
  </commentList>
</comments>
</file>

<file path=xl/sharedStrings.xml><?xml version="1.0" encoding="utf-8"?>
<sst xmlns="http://schemas.openxmlformats.org/spreadsheetml/2006/main" count="51" uniqueCount="49">
  <si>
    <t xml:space="preserve">Breakeven Sheet · with your salary built in</t>
  </si>
  <si>
    <t xml:space="preserve">Gilbert Trani · The Circle · Phase 1: No More Guessing</t>
  </si>
  <si>
    <t xml:space="preserve">Why this sheet is different</t>
  </si>
  <si>
    <t xml:space="preserve">Most breakeven sheets forget one person: you. Row 1 of your fixed costs is your own monthly salary. If your salary is missing, you have calculated the business's breakeven, not yours.</t>
  </si>
  <si>
    <t xml:space="preserve">How to use it (15 minutes)</t>
  </si>
  <si>
    <t xml:space="preserve">1. Open the "Breakeven" tab. Only type in the YELLOW cells with BLUE text. Everything else calculates itself.</t>
  </si>
  <si>
    <t xml:space="preserve">2. Replace the example numbers with your own. The example is made up, only to show the format.</t>
  </si>
  <si>
    <t xml:space="preserve">3. Fixed costs: everything you pay every month no matter how much you sell. Put your salary first, even a small amount.</t>
  </si>
  <si>
    <t xml:space="preserve">4. Direct costs: what each sale costs you to make or deliver (stock, ingredients, packaging, delivery, sales commission).</t>
  </si>
  <si>
    <t xml:space="preserve">5. Read the three results: your breakeven, your gap, and your daily sales target.</t>
  </si>
  <si>
    <t xml:space="preserve">What the words mean</t>
  </si>
  <si>
    <t xml:space="preserve">Contribution margin: the share of each peso of sales left after its direct costs. This, not gross margin, is what pays your fixed costs.</t>
  </si>
  <si>
    <t xml:space="preserve">Breakeven sales: fixed costs (with your salary) ÷ contribution margin. Below this line you lose money. Above it you keep money.</t>
  </si>
  <si>
    <t xml:space="preserve">Want help reading your result? Reply to my message with your breakeven number.</t>
  </si>
  <si>
    <t xml:space="preserve">Yellow cells with blue text = type here. The example numbers are made up. Replace them.</t>
  </si>
  <si>
    <t xml:space="preserve">A. FIXED COSTS PER MONTH (₱)</t>
  </si>
  <si>
    <t xml:space="preserve">Amount (₱)</t>
  </si>
  <si>
    <t xml:space="preserve">Note</t>
  </si>
  <si>
    <t xml:space="preserve">Owner salary (YOU, first line, always)</t>
  </si>
  <si>
    <t xml:space="preserve">Pick an amount the business can carry every month. Small is fine. Missing is not.</t>
  </si>
  <si>
    <t xml:space="preserve">Staff salaries and benefits</t>
  </si>
  <si>
    <t xml:space="preserve">Rent</t>
  </si>
  <si>
    <t xml:space="preserve">Utilities (power, water, internet)</t>
  </si>
  <si>
    <t xml:space="preserve">Loan or equipment payments</t>
  </si>
  <si>
    <t xml:space="preserve">Software, subscriptions, phone</t>
  </si>
  <si>
    <t xml:space="preserve">Accounting, permits, taxes set aside</t>
  </si>
  <si>
    <t xml:space="preserve">Other fixed cost</t>
  </si>
  <si>
    <t xml:space="preserve">Total fixed costs, with your salary</t>
  </si>
  <si>
    <t xml:space="preserve">B. YOUR SALES AND DIRECT COSTS (last full month)</t>
  </si>
  <si>
    <t xml:space="preserve">Sales last month (₱)</t>
  </si>
  <si>
    <t xml:space="preserve">Total you sold, before any cost.</t>
  </si>
  <si>
    <t xml:space="preserve">Direct costs last month (₱)</t>
  </si>
  <si>
    <t xml:space="preserve">Stock, ingredients, packaging, delivery, commissions: costs that rise with each sale.</t>
  </si>
  <si>
    <t xml:space="preserve">Days the business is open per month</t>
  </si>
  <si>
    <t xml:space="preserve">Used for your daily sales target.</t>
  </si>
  <si>
    <t xml:space="preserve">C. YOUR RESULTS (calculated, do not type here)</t>
  </si>
  <si>
    <t xml:space="preserve">Contribution margin (share of each sale left after direct costs)</t>
  </si>
  <si>
    <t xml:space="preserve">Higher is better. This is what pays your fixed costs.</t>
  </si>
  <si>
    <t xml:space="preserve">BREAKEVEN SALES PER MONTH (with your salary)</t>
  </si>
  <si>
    <t xml:space="preserve">Below this, you lose money. Above it, you keep money.</t>
  </si>
  <si>
    <t xml:space="preserve">Your sales last month</t>
  </si>
  <si>
    <t xml:space="preserve">Gap: above (+) or below (−) breakeven</t>
  </si>
  <si>
    <t xml:space="preserve">Negative means last month did not cover everything, including you.</t>
  </si>
  <si>
    <t xml:space="preserve">Daily sales needed to break even</t>
  </si>
  <si>
    <t xml:space="preserve">Check this every morning in your 10-Minute Money Check.</t>
  </si>
  <si>
    <t xml:space="preserve">Net income last month, after paying yourself</t>
  </si>
  <si>
    <t xml:space="preserve">What the business kept after every cost, including your salary.</t>
  </si>
  <si>
    <t xml:space="preserve">Formula used: Breakeven sales = Total fixed costs (with your salary) ÷ Contribution margin.</t>
  </si>
  <si>
    <t xml:space="preserve">Example figures above are illustrative only. They are not a client or a real business.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</si>
</sst>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₱#,##0;&quot;(₱&quot;#,##0\);\-"/>
    <numFmt numFmtId="166" formatCode="0"/>
    <numFmt numFmtId="167" formatCode="0.0%"/>
    <numFmt numFmtId="168" formatCode="\₱#,##0;[RED]&quot;-₱&quot;#,##0;\-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sz val="10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B91C1C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name val="Arial"/>
      <family val="0"/>
      <charset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FFFF00"/>
        <bgColor rgb="FFFFFF00"/>
      </patternFill>
    </fill>
    <fill>
      <patternFill patternType="solid">
        <fgColor rgb="FFF3F4F6"/>
        <bgColor rgb="FFFFFFFF"/>
      </patternFill>
    </fill>
    <fill>
      <patternFill patternType="solid">
        <fgColor rgb="FFFEF3C7"/>
        <bgColor rgb="FFFEE2E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FEE2E2"/>
        </patternFill>
      </fill>
    </dxf>
    <dxf>
      <fill>
        <patternFill>
          <bgColor rgb="FFDCFCE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3C7"/>
      <rgbColor rgb="FFDCFCE7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4F6"/>
      <rgbColor rgb="FFCCFFCC"/>
      <rgbColor rgb="FFFFFF99"/>
      <rgbColor rgb="FF99CCFF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B91C1C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95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4" customFormat="false" ht="15" hidden="false" customHeight="false" outlineLevel="0" collapsed="false">
      <c r="B4" s="2"/>
    </row>
    <row r="5" customFormat="false" ht="15" hidden="false" customHeight="false" outlineLevel="0" collapsed="false">
      <c r="B5" s="3" t="s">
        <v>2</v>
      </c>
    </row>
    <row r="6" customFormat="false" ht="23.85" hidden="false" customHeight="false" outlineLevel="0" collapsed="false">
      <c r="B6" s="2" t="s">
        <v>3</v>
      </c>
    </row>
    <row r="7" customFormat="false" ht="15" hidden="false" customHeight="false" outlineLevel="0" collapsed="false">
      <c r="B7" s="2"/>
    </row>
    <row r="8" customFormat="false" ht="15" hidden="false" customHeight="false" outlineLevel="0" collapsed="false">
      <c r="B8" s="3" t="s">
        <v>4</v>
      </c>
    </row>
    <row r="9" customFormat="false" ht="15" hidden="false" customHeight="false" outlineLevel="0" collapsed="false">
      <c r="B9" s="2" t="s">
        <v>5</v>
      </c>
    </row>
    <row r="10" customFormat="false" ht="15" hidden="false" customHeight="false" outlineLevel="0" collapsed="false">
      <c r="B10" s="2" t="s">
        <v>6</v>
      </c>
    </row>
    <row r="11" customFormat="false" ht="15" hidden="false" customHeight="false" outlineLevel="0" collapsed="false">
      <c r="B11" s="2" t="s">
        <v>7</v>
      </c>
    </row>
    <row r="12" customFormat="false" ht="15" hidden="false" customHeight="false" outlineLevel="0" collapsed="false">
      <c r="B12" s="2" t="s">
        <v>8</v>
      </c>
    </row>
    <row r="13" customFormat="false" ht="15" hidden="false" customHeight="false" outlineLevel="0" collapsed="false">
      <c r="B13" s="2" t="s">
        <v>9</v>
      </c>
    </row>
    <row r="14" customFormat="false" ht="15" hidden="false" customHeight="false" outlineLevel="0" collapsed="false">
      <c r="B14" s="2"/>
    </row>
    <row r="15" customFormat="false" ht="15" hidden="false" customHeight="false" outlineLevel="0" collapsed="false">
      <c r="B15" s="3" t="s">
        <v>10</v>
      </c>
    </row>
    <row r="16" customFormat="false" ht="15" hidden="false" customHeight="false" outlineLevel="0" collapsed="false">
      <c r="B16" s="2" t="s">
        <v>11</v>
      </c>
    </row>
    <row r="17" customFormat="false" ht="15" hidden="false" customHeight="false" outlineLevel="0" collapsed="false">
      <c r="B17" s="2" t="s">
        <v>12</v>
      </c>
    </row>
    <row r="18" customFormat="false" ht="15" hidden="false" customHeight="false" outlineLevel="0" collapsed="false">
      <c r="B18" s="2"/>
    </row>
    <row r="19" customFormat="false" ht="15" hidden="false" customHeight="false" outlineLevel="0" collapsed="false">
      <c r="B19" s="4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D3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4"/>
    <col collapsed="false" customWidth="true" hidden="false" outlineLevel="0" max="3" min="3" style="0" width="20"/>
    <col collapsed="false" customWidth="true" hidden="false" outlineLevel="0" max="4" min="4" style="0" width="52"/>
  </cols>
  <sheetData>
    <row r="2" customFormat="false" ht="19.7" hidden="false" customHeight="false" outlineLevel="0" collapsed="false">
      <c r="B2" s="5" t="s">
        <v>0</v>
      </c>
    </row>
    <row r="3" customFormat="false" ht="15" hidden="false" customHeight="false" outlineLevel="0" collapsed="false">
      <c r="B3" s="6" t="s">
        <v>14</v>
      </c>
    </row>
    <row r="5" customFormat="false" ht="15" hidden="false" customHeight="false" outlineLevel="0" collapsed="false">
      <c r="B5" s="7" t="s">
        <v>15</v>
      </c>
      <c r="C5" s="7" t="s">
        <v>16</v>
      </c>
      <c r="D5" s="7" t="s">
        <v>17</v>
      </c>
    </row>
    <row r="6" customFormat="false" ht="15" hidden="false" customHeight="false" outlineLevel="0" collapsed="false">
      <c r="B6" s="8" t="s">
        <v>18</v>
      </c>
      <c r="C6" s="9" t="n">
        <v>30000</v>
      </c>
      <c r="D6" s="10" t="s">
        <v>19</v>
      </c>
    </row>
    <row r="7" customFormat="false" ht="15" hidden="false" customHeight="false" outlineLevel="0" collapsed="false">
      <c r="B7" s="11" t="s">
        <v>20</v>
      </c>
      <c r="C7" s="9" t="n">
        <v>60000</v>
      </c>
      <c r="D7" s="10"/>
    </row>
    <row r="8" customFormat="false" ht="15" hidden="false" customHeight="false" outlineLevel="0" collapsed="false">
      <c r="B8" s="11" t="s">
        <v>21</v>
      </c>
      <c r="C8" s="9" t="n">
        <v>25000</v>
      </c>
      <c r="D8" s="10"/>
    </row>
    <row r="9" customFormat="false" ht="15" hidden="false" customHeight="false" outlineLevel="0" collapsed="false">
      <c r="B9" s="11" t="s">
        <v>22</v>
      </c>
      <c r="C9" s="9" t="n">
        <v>8000</v>
      </c>
      <c r="D9" s="10"/>
    </row>
    <row r="10" customFormat="false" ht="15" hidden="false" customHeight="false" outlineLevel="0" collapsed="false">
      <c r="B10" s="11" t="s">
        <v>23</v>
      </c>
      <c r="C10" s="9" t="n">
        <v>10000</v>
      </c>
      <c r="D10" s="10"/>
    </row>
    <row r="11" customFormat="false" ht="15" hidden="false" customHeight="false" outlineLevel="0" collapsed="false">
      <c r="B11" s="11" t="s">
        <v>24</v>
      </c>
      <c r="C11" s="9" t="n">
        <v>3000</v>
      </c>
      <c r="D11" s="10"/>
    </row>
    <row r="12" customFormat="false" ht="15" hidden="false" customHeight="false" outlineLevel="0" collapsed="false">
      <c r="B12" s="11" t="s">
        <v>25</v>
      </c>
      <c r="C12" s="9" t="n">
        <v>5000</v>
      </c>
      <c r="D12" s="10"/>
    </row>
    <row r="13" customFormat="false" ht="15" hidden="false" customHeight="false" outlineLevel="0" collapsed="false">
      <c r="B13" s="11" t="s">
        <v>26</v>
      </c>
      <c r="C13" s="9" t="n">
        <v>0</v>
      </c>
      <c r="D13" s="10"/>
    </row>
    <row r="14" customFormat="false" ht="15" hidden="false" customHeight="false" outlineLevel="0" collapsed="false">
      <c r="B14" s="11" t="s">
        <v>26</v>
      </c>
      <c r="C14" s="9" t="n">
        <v>0</v>
      </c>
      <c r="D14" s="10"/>
    </row>
    <row r="15" customFormat="false" ht="15" hidden="false" customHeight="false" outlineLevel="0" collapsed="false">
      <c r="B15" s="12" t="s">
        <v>27</v>
      </c>
      <c r="C15" s="13" t="n">
        <f aca="false">SUM(C6:C14)</f>
        <v>141000</v>
      </c>
    </row>
    <row r="17" customFormat="false" ht="15" hidden="false" customHeight="false" outlineLevel="0" collapsed="false">
      <c r="B17" s="7" t="s">
        <v>28</v>
      </c>
      <c r="C17" s="14"/>
      <c r="D17" s="14"/>
    </row>
    <row r="18" customFormat="false" ht="15" hidden="false" customHeight="false" outlineLevel="0" collapsed="false">
      <c r="B18" s="11" t="s">
        <v>29</v>
      </c>
      <c r="C18" s="9" t="n">
        <v>250000</v>
      </c>
      <c r="D18" s="10" t="s">
        <v>30</v>
      </c>
    </row>
    <row r="19" customFormat="false" ht="15" hidden="false" customHeight="false" outlineLevel="0" collapsed="false">
      <c r="B19" s="11" t="s">
        <v>31</v>
      </c>
      <c r="C19" s="9" t="n">
        <v>100000</v>
      </c>
      <c r="D19" s="10" t="s">
        <v>32</v>
      </c>
    </row>
    <row r="20" customFormat="false" ht="15" hidden="false" customHeight="false" outlineLevel="0" collapsed="false">
      <c r="B20" s="11" t="s">
        <v>33</v>
      </c>
      <c r="C20" s="15" t="n">
        <v>26</v>
      </c>
      <c r="D20" s="10" t="s">
        <v>34</v>
      </c>
    </row>
    <row r="22" customFormat="false" ht="15" hidden="false" customHeight="false" outlineLevel="0" collapsed="false">
      <c r="B22" s="7" t="s">
        <v>35</v>
      </c>
      <c r="C22" s="14"/>
      <c r="D22" s="14"/>
    </row>
    <row r="23" customFormat="false" ht="15" hidden="false" customHeight="false" outlineLevel="0" collapsed="false">
      <c r="B23" s="11" t="s">
        <v>36</v>
      </c>
      <c r="C23" s="16" t="n">
        <f aca="false">IFERROR((C18-C19)/C18,0)</f>
        <v>0.6</v>
      </c>
      <c r="D23" s="10" t="s">
        <v>37</v>
      </c>
    </row>
    <row r="24" customFormat="false" ht="15" hidden="false" customHeight="false" outlineLevel="0" collapsed="false">
      <c r="B24" s="12" t="s">
        <v>38</v>
      </c>
      <c r="C24" s="17" t="n">
        <f aca="false">IFERROR(C15/C23,0)</f>
        <v>235000</v>
      </c>
      <c r="D24" s="10" t="s">
        <v>39</v>
      </c>
    </row>
    <row r="25" customFormat="false" ht="15" hidden="false" customHeight="false" outlineLevel="0" collapsed="false">
      <c r="B25" s="11" t="s">
        <v>40</v>
      </c>
      <c r="C25" s="18" t="n">
        <f aca="false">C18</f>
        <v>250000</v>
      </c>
      <c r="D25" s="10"/>
    </row>
    <row r="26" customFormat="false" ht="15" hidden="false" customHeight="false" outlineLevel="0" collapsed="false">
      <c r="B26" s="12" t="s">
        <v>41</v>
      </c>
      <c r="C26" s="19" t="n">
        <f aca="false">C18-C24</f>
        <v>15000</v>
      </c>
      <c r="D26" s="10" t="s">
        <v>42</v>
      </c>
    </row>
    <row r="27" customFormat="false" ht="15" hidden="false" customHeight="false" outlineLevel="0" collapsed="false">
      <c r="B27" s="11" t="s">
        <v>43</v>
      </c>
      <c r="C27" s="18" t="n">
        <f aca="false">IFERROR(C24/C20,0)</f>
        <v>9038.46153846154</v>
      </c>
      <c r="D27" s="10" t="s">
        <v>44</v>
      </c>
    </row>
    <row r="28" customFormat="false" ht="15" hidden="false" customHeight="false" outlineLevel="0" collapsed="false">
      <c r="B28" s="11" t="s">
        <v>45</v>
      </c>
      <c r="C28" s="20" t="n">
        <f aca="false">C18-C19-C15</f>
        <v>9000</v>
      </c>
      <c r="D28" s="10" t="s">
        <v>46</v>
      </c>
    </row>
    <row r="30" customFormat="false" ht="15" hidden="false" customHeight="false" outlineLevel="0" collapsed="false">
      <c r="B30" s="10" t="s">
        <v>47</v>
      </c>
    </row>
    <row r="31" customFormat="false" ht="15" hidden="false" customHeight="false" outlineLevel="0" collapsed="false">
      <c r="B31" s="10" t="s">
        <v>48</v>
      </c>
    </row>
  </sheetData>
  <conditionalFormatting sqref="C26">
    <cfRule type="cellIs" priority="2" operator="lessThan" aboveAverage="0" equalAverage="0" bottom="0" percent="0" rank="0" text="" dxfId="0">
      <formula>0</formula>
    </cfRule>
    <cfRule type="cellIs" priority="3" operator="greaterThanOrEqual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2026-09-23T10:30:02Z</dcterms:created>
  <dc:creator>openpyxl</dc:creator>
  <dc:description/>
  <dc:language>en-US</dc:language>
  <cp:lastModifiedBy/>
  <dcterms:modified xsi:type="dcterms:W3CDTF">2026-09-23T10:30:02Z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